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\Desktop\"/>
    </mc:Choice>
  </mc:AlternateContent>
  <bookViews>
    <workbookView xWindow="0" yWindow="0" windowWidth="19200" windowHeight="1159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C8" i="1"/>
  <c r="C9" i="1"/>
  <c r="S7" i="1"/>
  <c r="N7" i="1"/>
  <c r="O7" i="1"/>
  <c r="P7" i="1"/>
  <c r="Q7" i="1"/>
  <c r="R7" i="1"/>
  <c r="D7" i="1"/>
  <c r="E7" i="1"/>
  <c r="F7" i="1"/>
  <c r="G7" i="1"/>
  <c r="H7" i="1"/>
  <c r="I7" i="1"/>
  <c r="J7" i="1"/>
  <c r="K7" i="1"/>
  <c r="L7" i="1"/>
  <c r="M7" i="1"/>
  <c r="C7" i="1"/>
</calcChain>
</file>

<file path=xl/sharedStrings.xml><?xml version="1.0" encoding="utf-8"?>
<sst xmlns="http://schemas.openxmlformats.org/spreadsheetml/2006/main" count="21" uniqueCount="21">
  <si>
    <t>0мм</t>
  </si>
  <si>
    <t>+-3мм</t>
  </si>
  <si>
    <t>+-5мм</t>
  </si>
  <si>
    <t>+-0,2 С</t>
  </si>
  <si>
    <t>+-0,5 С</t>
  </si>
  <si>
    <t>+-0,1125 Па</t>
  </si>
  <si>
    <t>3мм/0,2 C</t>
  </si>
  <si>
    <t>3мм/0,5 C</t>
  </si>
  <si>
    <t>5мм/0,2 C</t>
  </si>
  <si>
    <t>5мм/0,5 C</t>
  </si>
  <si>
    <t>3мм/0,1125 Па</t>
  </si>
  <si>
    <t>5мм/0,1125 Па</t>
  </si>
  <si>
    <t>0,2 С/0,1125 Па</t>
  </si>
  <si>
    <t>0,5 С/0,1125 Па</t>
  </si>
  <si>
    <t>3мм/0,2 C/0,1125Па</t>
  </si>
  <si>
    <t>5мм/0,2 C/0,1125Па</t>
  </si>
  <si>
    <t>3мм/0,5 C/0,1125Па</t>
  </si>
  <si>
    <t>5мм/0,5 C/0,1125Па</t>
  </si>
  <si>
    <t>Относительная погрешность(σm), %</t>
  </si>
  <si>
    <t>Разница, %</t>
  </si>
  <si>
    <t>Масса(m),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</si>
</sst>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8"/>
  <sheetViews>
    <sheetView tabSelected="1" workbookViewId="0">
      <selection activeCell="A8" sqref="A8"/>
    </sheetView>
  </sheetViews>
  <sheetFormatPr defaultRowHeight="15" x14ac:dyDescent="0.25"/>
  <cols>
    <col min="1" max="1" width="9.5703125" style="1" bestFit="1" customWidth="1"/>
  </cols>
  <sheetData>
    <row r="4" spans="1:22" ht="45" x14ac:dyDescent="0.25">
      <c r="A4" s="16"/>
      <c r="B4" s="5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7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9" t="s">
        <v>12</v>
      </c>
      <c r="O4" s="9" t="s">
        <v>13</v>
      </c>
      <c r="P4" s="8" t="s">
        <v>14</v>
      </c>
      <c r="Q4" s="8" t="s">
        <v>15</v>
      </c>
      <c r="R4" s="8" t="s">
        <v>16</v>
      </c>
      <c r="S4" s="8" t="s">
        <v>17</v>
      </c>
    </row>
    <row r="5" spans="1:22" ht="30" x14ac:dyDescent="0.25">
      <c r="A5" s="8" t="s">
        <v>20</v>
      </c>
      <c r="B5" s="4">
        <v>668.14200000000005</v>
      </c>
      <c r="C5" s="4">
        <v>668.48699999999997</v>
      </c>
      <c r="D5" s="4">
        <v>668.71500000000003</v>
      </c>
      <c r="E5" s="4">
        <v>668.14400000000001</v>
      </c>
      <c r="F5" s="4">
        <v>668.14300000000003</v>
      </c>
      <c r="G5" s="4">
        <v>668.14200000000005</v>
      </c>
      <c r="H5" s="4">
        <v>668.48800000000006</v>
      </c>
      <c r="I5" s="4">
        <v>668.48800000000006</v>
      </c>
      <c r="J5" s="4">
        <v>668.71600000000001</v>
      </c>
      <c r="K5" s="4">
        <v>668.71600000000001</v>
      </c>
      <c r="L5" s="4">
        <v>668.48699999999997</v>
      </c>
      <c r="M5" s="4">
        <v>668.71500000000003</v>
      </c>
      <c r="N5" s="4">
        <v>668.14400000000001</v>
      </c>
      <c r="O5" s="4">
        <v>668.14300000000003</v>
      </c>
      <c r="P5" s="4">
        <v>668.48800000000006</v>
      </c>
      <c r="Q5" s="4">
        <v>668.71600000000001</v>
      </c>
      <c r="R5" s="4">
        <v>668.48800000000006</v>
      </c>
      <c r="S5" s="4">
        <v>668.71600000000001</v>
      </c>
    </row>
    <row r="6" spans="1:22" ht="75" x14ac:dyDescent="0.25">
      <c r="A6" s="8" t="s">
        <v>18</v>
      </c>
      <c r="B6" s="4">
        <v>0.54263700000000004</v>
      </c>
      <c r="C6" s="4">
        <v>0.54367699999999997</v>
      </c>
      <c r="D6" s="4">
        <v>0.54437100000000005</v>
      </c>
      <c r="E6" s="4">
        <v>0.54263600000000001</v>
      </c>
      <c r="F6" s="4">
        <v>0.54263600000000001</v>
      </c>
      <c r="G6" s="4">
        <v>0.54263600000000001</v>
      </c>
      <c r="H6" s="4">
        <v>0.54367699999999997</v>
      </c>
      <c r="I6" s="4">
        <v>0.54367699999999997</v>
      </c>
      <c r="J6" s="4">
        <v>0.54437100000000005</v>
      </c>
      <c r="K6" s="4">
        <v>0.54437100000000005</v>
      </c>
      <c r="L6" s="4">
        <v>0.54367699999999997</v>
      </c>
      <c r="M6" s="4">
        <v>0.54437100000000005</v>
      </c>
      <c r="N6" s="4">
        <v>0.54263600000000001</v>
      </c>
      <c r="O6" s="4">
        <v>0.54263499999999998</v>
      </c>
      <c r="P6" s="4">
        <v>0.54367600000000005</v>
      </c>
      <c r="Q6" s="4">
        <v>0.54437000000000002</v>
      </c>
      <c r="R6" s="4">
        <v>0.54367600000000005</v>
      </c>
      <c r="S6" s="4">
        <v>0.54437000000000002</v>
      </c>
    </row>
    <row r="7" spans="1:22" ht="30" x14ac:dyDescent="0.25">
      <c r="A7" s="17" t="s">
        <v>19</v>
      </c>
      <c r="B7" s="3"/>
      <c r="C7" s="3">
        <f>$B$6-C6</f>
        <v>-1.0399999999999299E-3</v>
      </c>
      <c r="D7" s="3">
        <f>$B$6-D6</f>
        <v>-1.7340000000000133E-3</v>
      </c>
      <c r="E7" s="3">
        <f>$B$6-E6</f>
        <v>1.0000000000287557E-6</v>
      </c>
      <c r="F7" s="3">
        <f>$B$6-F6</f>
        <v>1.0000000000287557E-6</v>
      </c>
      <c r="G7" s="3">
        <f>$B$6-G6</f>
        <v>1.0000000000287557E-6</v>
      </c>
      <c r="H7" s="3">
        <f>$B$6-H6</f>
        <v>-1.0399999999999299E-3</v>
      </c>
      <c r="I7" s="3">
        <f>$B$6-I6</f>
        <v>-1.0399999999999299E-3</v>
      </c>
      <c r="J7" s="3">
        <f>$B$6-J6</f>
        <v>-1.7340000000000133E-3</v>
      </c>
      <c r="K7" s="3">
        <f>$B$6-K6</f>
        <v>-1.7340000000000133E-3</v>
      </c>
      <c r="L7" s="3">
        <f>$B$6-L6</f>
        <v>-1.0399999999999299E-3</v>
      </c>
      <c r="M7" s="3">
        <f>$B$6-M6</f>
        <v>-1.7340000000000133E-3</v>
      </c>
      <c r="N7" s="3">
        <f>$B$6-N6</f>
        <v>1.0000000000287557E-6</v>
      </c>
      <c r="O7" s="3">
        <f>$B$6-O6</f>
        <v>2.0000000000575113E-6</v>
      </c>
      <c r="P7" s="3">
        <f>$B$6-P6</f>
        <v>-1.0390000000000121E-3</v>
      </c>
      <c r="Q7" s="3">
        <f>$B$6-Q6</f>
        <v>-1.7329999999999846E-3</v>
      </c>
      <c r="R7" s="3">
        <f>$B$6-R6</f>
        <v>-1.0390000000000121E-3</v>
      </c>
      <c r="S7" s="3">
        <f>$B$6-S6</f>
        <v>-1.7329999999999846E-3</v>
      </c>
    </row>
    <row r="8" spans="1:22" x14ac:dyDescent="0.25">
      <c r="C8">
        <f>ABS($B$5-C$5)</f>
        <v>0.3449999999999136</v>
      </c>
      <c r="D8">
        <f t="shared" ref="D8:S8" si="0">ABS($B$5-D$5)</f>
        <v>0.57299999999997908</v>
      </c>
      <c r="E8">
        <f t="shared" si="0"/>
        <v>1.9999999999527063E-3</v>
      </c>
      <c r="F8">
        <f t="shared" si="0"/>
        <v>9.9999999997635314E-4</v>
      </c>
      <c r="G8">
        <f t="shared" si="0"/>
        <v>0</v>
      </c>
      <c r="H8">
        <f t="shared" si="0"/>
        <v>0.34600000000000364</v>
      </c>
      <c r="I8">
        <f t="shared" si="0"/>
        <v>0.34600000000000364</v>
      </c>
      <c r="J8">
        <f t="shared" si="0"/>
        <v>0.57399999999995543</v>
      </c>
      <c r="K8">
        <f t="shared" si="0"/>
        <v>0.57399999999995543</v>
      </c>
      <c r="L8">
        <f t="shared" si="0"/>
        <v>0.3449999999999136</v>
      </c>
      <c r="M8">
        <f t="shared" si="0"/>
        <v>0.57299999999997908</v>
      </c>
      <c r="N8">
        <f t="shared" si="0"/>
        <v>1.9999999999527063E-3</v>
      </c>
      <c r="O8">
        <f t="shared" si="0"/>
        <v>9.9999999997635314E-4</v>
      </c>
      <c r="P8">
        <f t="shared" si="0"/>
        <v>0.34600000000000364</v>
      </c>
      <c r="Q8">
        <f t="shared" si="0"/>
        <v>0.57399999999995543</v>
      </c>
      <c r="R8">
        <f t="shared" si="0"/>
        <v>0.34600000000000364</v>
      </c>
      <c r="S8">
        <f t="shared" si="0"/>
        <v>0.57399999999995543</v>
      </c>
    </row>
    <row r="9" spans="1:22" x14ac:dyDescent="0.25">
      <c r="C9">
        <f>MAX(C8:S8)</f>
        <v>0.57399999999995543</v>
      </c>
    </row>
    <row r="11" spans="1:22" x14ac:dyDescent="0.25">
      <c r="D11" s="10"/>
      <c r="E11" s="10"/>
      <c r="F11" s="11"/>
      <c r="G11" s="11"/>
      <c r="H11" s="11"/>
      <c r="I11" s="11"/>
      <c r="J11" s="12"/>
      <c r="K11" s="13"/>
      <c r="L11" s="13"/>
      <c r="M11" s="13"/>
      <c r="N11" s="13"/>
      <c r="O11" s="13"/>
      <c r="P11" s="13"/>
      <c r="Q11" s="14"/>
      <c r="R11" s="14"/>
      <c r="S11" s="13"/>
      <c r="T11" s="13"/>
      <c r="U11" s="13"/>
      <c r="V11" s="13"/>
    </row>
    <row r="12" spans="1:22" x14ac:dyDescent="0.25"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x14ac:dyDescent="0.25">
      <c r="D13" s="13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x14ac:dyDescent="0.25">
      <c r="D14" s="13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8" spans="11:11" x14ac:dyDescent="0.25">
      <c r="K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</dc:creator>
  <cp:lastModifiedBy>local</cp:lastModifiedBy>
  <dcterms:created xsi:type="dcterms:W3CDTF">2026-07-01T04:07:39Z</dcterms:created>
  <dcterms:modified xsi:type="dcterms:W3CDTF">2026-07-01T09:49:29Z</dcterms:modified>
</cp:coreProperties>
</file>